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MS-MLAI-UpGrad\Research Things\LJMU Thesis\HotPotQA-Coding-Trials\Final Results Compiled\"/>
    </mc:Choice>
  </mc:AlternateContent>
  <xr:revisionPtr revIDLastSave="0" documentId="13_ncr:1_{331E1209-B24E-4861-963B-087D7483250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xperiment Metrics" sheetId="1" r:id="rId1"/>
    <sheet name="Ebedding Metric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" i="1" l="1"/>
</calcChain>
</file>

<file path=xl/sharedStrings.xml><?xml version="1.0" encoding="utf-8"?>
<sst xmlns="http://schemas.openxmlformats.org/spreadsheetml/2006/main" count="313" uniqueCount="54">
  <si>
    <t>SN</t>
  </si>
  <si>
    <t>RAG Name</t>
  </si>
  <si>
    <t>Chunking Technique</t>
  </si>
  <si>
    <t>No of Samples Used</t>
  </si>
  <si>
    <t>Embedding</t>
  </si>
  <si>
    <t>VectorDB</t>
  </si>
  <si>
    <t>Generator Model</t>
  </si>
  <si>
    <t>Exact Match</t>
  </si>
  <si>
    <t>F1</t>
  </si>
  <si>
    <t>SP Exact Match</t>
  </si>
  <si>
    <t>SP F1</t>
  </si>
  <si>
    <t>SP Precision</t>
  </si>
  <si>
    <t>SP Recall</t>
  </si>
  <si>
    <t>Joint Exact Match</t>
  </si>
  <si>
    <t>Joint F1</t>
  </si>
  <si>
    <t>Location</t>
  </si>
  <si>
    <t>Reason</t>
  </si>
  <si>
    <t xml:space="preserve">  ▌ VanillaRAG</t>
  </si>
  <si>
    <t>VanillaRAG</t>
  </si>
  <si>
    <t>Sentence Level Chunking</t>
  </si>
  <si>
    <t>all-MiniLM-L6-v2</t>
  </si>
  <si>
    <t>FAISS</t>
  </si>
  <si>
    <t>llama-3.3-70b-versatile</t>
  </si>
  <si>
    <t>LANCEDB</t>
  </si>
  <si>
    <t>QDRANT</t>
  </si>
  <si>
    <t>PINECONE</t>
  </si>
  <si>
    <t>CHROMADB</t>
  </si>
  <si>
    <t xml:space="preserve">  ▌ SingleStageRAG</t>
  </si>
  <si>
    <t>SingleStageRAG</t>
  </si>
  <si>
    <t xml:space="preserve">  ▌ MultiStageRAG</t>
  </si>
  <si>
    <t>MultiStageRAG</t>
  </si>
  <si>
    <t xml:space="preserve">  ▌ HybridRAG</t>
  </si>
  <si>
    <t>HybridRAG</t>
  </si>
  <si>
    <t xml:space="preserve">  ▌ GraphRAG</t>
  </si>
  <si>
    <t xml:space="preserve">  ▌ MultiStageGraphRAG</t>
  </si>
  <si>
    <t>Legend:</t>
  </si>
  <si>
    <t>Best in Group</t>
  </si>
  <si>
    <t>Worst in Group</t>
  </si>
  <si>
    <t>(Ranked by F1 Score)</t>
  </si>
  <si>
    <t>NO VECTOR DB</t>
  </si>
  <si>
    <t>RAGAS Faithfulness Rate</t>
  </si>
  <si>
    <t>Multi-Stage Graph-Enhanced HybridRAG</t>
  </si>
  <si>
    <t>Graph-Enhanced HybridRAG</t>
  </si>
  <si>
    <t xml:space="preserve">  ▌ VanillaRAG  (ChromaDB Fixed | Compared across Embedding Models)</t>
  </si>
  <si>
    <t>No choice as no embedding is needed</t>
  </si>
  <si>
    <t xml:space="preserve">  ▌ SingleStageRAG  (ChromaDB Fixed | Compared across Embedding Models)</t>
  </si>
  <si>
    <t>all-mpnet-base-v2</t>
  </si>
  <si>
    <t>bge-base-en-v1.5</t>
  </si>
  <si>
    <t>e5-base-v2</t>
  </si>
  <si>
    <t>multi-qa-mpnet-base-cos-v1</t>
  </si>
  <si>
    <t xml:space="preserve">  ▌ MultiStageRAG  (ChromaDB Fixed | Compared across Embedding Models)</t>
  </si>
  <si>
    <t xml:space="preserve">  ▌ HybridRAG  (ChromaDB Fixed | Compared across Embedding Models)</t>
  </si>
  <si>
    <t xml:space="preserve">  ▌ GraphRAG  (ChromaDB Fixed | Compared across Embedding Models)</t>
  </si>
  <si>
    <t xml:space="preserve">  ▌ MultiStageGraphRAG  (ChromaDB Fixed | Compared across Embedding Models)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</si>
</sst>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name val="Calibri"/>
      <family val="2"/>
      <scheme val="minor"/>
    </font>
    <font>
      <b/>
      <sz val="9"/>
      <color rgb="FF006100"/>
      <name val="Calibri"/>
      <family val="2"/>
      <scheme val="minor"/>
    </font>
    <font>
      <b/>
      <sz val="9"/>
      <color rgb="FF375623"/>
      <name val="Calibri"/>
      <family val="2"/>
      <scheme val="minor"/>
    </font>
    <font>
      <b/>
      <sz val="9"/>
      <color rgb="FF9C0006"/>
      <name val="Calibri"/>
      <family val="2"/>
      <scheme val="minor"/>
    </font>
    <font>
      <b/>
      <sz val="9"/>
      <name val="Calibri"/>
      <family val="2"/>
      <scheme val="minor"/>
    </font>
    <font>
      <i/>
      <sz val="8"/>
      <color rgb="FF666666"/>
      <name val="Calibri"/>
      <family val="2"/>
      <scheme val="minor"/>
    </font>
    <font>
      <sz val="12"/>
      <color theme="1"/>
      <name val="Times New Roman"/>
      <family val="1"/>
    </font>
    <font>
      <b/>
      <sz val="11"/>
      <color rgb="FF9C0006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BF3F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0F7EE"/>
      </patternFill>
    </fill>
    <fill>
      <patternFill patternType="solid">
        <fgColor theme="0"/>
        <bgColor rgb="FFD9EAD3"/>
      </patternFill>
    </fill>
    <fill>
      <patternFill patternType="solid">
        <fgColor theme="0"/>
        <bgColor rgb="FFE2EFDA"/>
      </patternFill>
    </fill>
    <fill>
      <patternFill patternType="solid">
        <fgColor theme="0"/>
        <bgColor rgb="FFEAD1DC"/>
      </patternFill>
    </fill>
    <fill>
      <patternFill patternType="solid">
        <fgColor theme="0"/>
        <bgColor rgb="FFFFC7CE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DEEAF1"/>
      </patternFill>
    </fill>
    <fill>
      <patternFill patternType="solid">
        <fgColor theme="0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0" fontId="2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164" fontId="9" fillId="4" borderId="3" xfId="0" applyNumberFormat="1" applyFont="1" applyFill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164" fontId="11" fillId="5" borderId="3" xfId="0" applyNumberFormat="1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2" fillId="14" borderId="3" xfId="0" applyFont="1" applyFill="1" applyBorder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1"/>
  <sheetViews>
    <sheetView zoomScale="70" zoomScaleNormal="70" workbookViewId="0">
      <pane ySplit="1" topLeftCell="A2" activePane="bottomLeft" state="frozen"/>
      <selection pane="bottomLeft" activeCell="N38" sqref="N38"/>
    </sheetView>
  </sheetViews>
  <sheetFormatPr defaultRowHeight="14.4" x14ac:dyDescent="0.3"/>
  <cols>
    <col min="1" max="1" width="5" customWidth="1"/>
    <col min="2" max="2" width="39.109375" bestFit="1" customWidth="1"/>
    <col min="3" max="3" width="22" customWidth="1"/>
    <col min="4" max="4" width="12" customWidth="1"/>
    <col min="5" max="5" width="20" customWidth="1"/>
    <col min="6" max="6" width="17.44140625" bestFit="1" customWidth="1"/>
    <col min="7" max="7" width="22" customWidth="1"/>
    <col min="8" max="8" width="11" customWidth="1"/>
    <col min="9" max="9" width="9" customWidth="1"/>
    <col min="10" max="10" width="12" customWidth="1"/>
    <col min="11" max="11" width="9" customWidth="1"/>
    <col min="12" max="12" width="11" customWidth="1"/>
    <col min="13" max="13" width="10" customWidth="1"/>
    <col min="14" max="14" width="14" customWidth="1"/>
    <col min="15" max="15" width="10" customWidth="1"/>
    <col min="16" max="16" width="16" customWidth="1"/>
    <col min="17" max="17" width="14" customWidth="1"/>
    <col min="18" max="18" width="18" customWidth="1"/>
  </cols>
  <sheetData>
    <row r="1" spans="1:18" ht="34.950000000000003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40</v>
      </c>
      <c r="Q1" s="1" t="s">
        <v>15</v>
      </c>
      <c r="R1" s="1" t="s">
        <v>16</v>
      </c>
    </row>
    <row r="2" spans="1:18" ht="22.05" customHeight="1" x14ac:dyDescent="0.3">
      <c r="A2" s="31" t="s">
        <v>17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3" spans="1:18" ht="18" customHeight="1" x14ac:dyDescent="0.3">
      <c r="A3" s="2">
        <v>1</v>
      </c>
      <c r="B3" s="3" t="s">
        <v>18</v>
      </c>
      <c r="C3" s="3" t="s">
        <v>19</v>
      </c>
      <c r="D3" s="3">
        <v>100</v>
      </c>
      <c r="E3" s="3" t="s">
        <v>20</v>
      </c>
      <c r="F3" s="3" t="s">
        <v>39</v>
      </c>
      <c r="G3" s="3" t="s">
        <v>22</v>
      </c>
      <c r="H3" s="4">
        <v>0.36</v>
      </c>
      <c r="I3" s="4">
        <v>0.47539999999999999</v>
      </c>
      <c r="J3" s="4">
        <v>0.15</v>
      </c>
      <c r="K3" s="4">
        <v>0.51470000000000005</v>
      </c>
      <c r="L3" s="4">
        <v>0.64329999999999998</v>
      </c>
      <c r="M3" s="4">
        <v>0.45729999999999998</v>
      </c>
      <c r="N3" s="4">
        <v>0.1</v>
      </c>
      <c r="O3" s="4">
        <v>0.31490000000000001</v>
      </c>
      <c r="P3" s="4">
        <v>0.54300000000000004</v>
      </c>
      <c r="Q3" s="5"/>
      <c r="R3" s="5"/>
    </row>
    <row r="4" spans="1:18" ht="22.05" customHeight="1" x14ac:dyDescent="0.3">
      <c r="A4" s="31" t="s">
        <v>27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</row>
    <row r="5" spans="1:18" ht="18" customHeight="1" x14ac:dyDescent="0.3">
      <c r="A5" s="6">
        <v>2</v>
      </c>
      <c r="B5" s="7" t="s">
        <v>28</v>
      </c>
      <c r="C5" s="7" t="s">
        <v>19</v>
      </c>
      <c r="D5" s="7">
        <v>100</v>
      </c>
      <c r="E5" s="7" t="s">
        <v>20</v>
      </c>
      <c r="F5" s="7" t="s">
        <v>21</v>
      </c>
      <c r="G5" s="7" t="s">
        <v>22</v>
      </c>
      <c r="H5" s="8">
        <v>0.36</v>
      </c>
      <c r="I5" s="8">
        <v>0.45079999999999998</v>
      </c>
      <c r="J5" s="8">
        <v>0.11</v>
      </c>
      <c r="K5" s="8">
        <v>0.45340000000000003</v>
      </c>
      <c r="L5" s="8">
        <v>0.56579999999999997</v>
      </c>
      <c r="M5" s="8">
        <v>0.39979999999999999</v>
      </c>
      <c r="N5" s="8">
        <v>7.0000000000000007E-2</v>
      </c>
      <c r="O5" s="8">
        <v>0.28799999999999998</v>
      </c>
      <c r="P5" s="8">
        <v>0.59919999999999995</v>
      </c>
      <c r="Q5" s="7"/>
      <c r="R5" s="7"/>
    </row>
    <row r="6" spans="1:18" ht="18" customHeight="1" x14ac:dyDescent="0.3">
      <c r="A6" s="9">
        <v>3</v>
      </c>
      <c r="B6" s="7" t="s">
        <v>28</v>
      </c>
      <c r="C6" s="7" t="s">
        <v>19</v>
      </c>
      <c r="D6" s="7">
        <v>100</v>
      </c>
      <c r="E6" s="7" t="s">
        <v>20</v>
      </c>
      <c r="F6" s="7" t="s">
        <v>23</v>
      </c>
      <c r="G6" s="7" t="s">
        <v>22</v>
      </c>
      <c r="H6" s="8">
        <v>0.34</v>
      </c>
      <c r="I6" s="8">
        <v>0.44030000000000002</v>
      </c>
      <c r="J6" s="8">
        <v>0.11</v>
      </c>
      <c r="K6" s="8">
        <v>0.45479999999999998</v>
      </c>
      <c r="L6" s="8">
        <v>0.57999999999999996</v>
      </c>
      <c r="M6" s="8">
        <v>0.39650000000000002</v>
      </c>
      <c r="N6" s="8">
        <v>7.0000000000000007E-2</v>
      </c>
      <c r="O6" s="8">
        <v>0.2787</v>
      </c>
      <c r="P6" s="8">
        <v>0.60829999999999995</v>
      </c>
      <c r="Q6" s="7"/>
      <c r="R6" s="7"/>
    </row>
    <row r="7" spans="1:18" ht="18" customHeight="1" x14ac:dyDescent="0.3">
      <c r="A7" s="10">
        <v>4</v>
      </c>
      <c r="B7" s="11" t="s">
        <v>28</v>
      </c>
      <c r="C7" s="11" t="s">
        <v>19</v>
      </c>
      <c r="D7" s="11">
        <v>100</v>
      </c>
      <c r="E7" s="11" t="s">
        <v>20</v>
      </c>
      <c r="F7" s="11" t="s">
        <v>24</v>
      </c>
      <c r="G7" s="11" t="s">
        <v>22</v>
      </c>
      <c r="H7" s="12">
        <v>0.34</v>
      </c>
      <c r="I7" s="12">
        <v>0.4395</v>
      </c>
      <c r="J7" s="12">
        <v>0.11</v>
      </c>
      <c r="K7" s="12">
        <v>0.46229999999999999</v>
      </c>
      <c r="L7" s="12">
        <v>0.57750000000000001</v>
      </c>
      <c r="M7" s="12">
        <v>0.4098</v>
      </c>
      <c r="N7" s="12">
        <v>7.0000000000000007E-2</v>
      </c>
      <c r="O7" s="12">
        <v>0.28089999999999998</v>
      </c>
      <c r="P7" s="12">
        <v>0.60829999999999995</v>
      </c>
      <c r="Q7" s="11"/>
      <c r="R7" s="11"/>
    </row>
    <row r="8" spans="1:18" ht="18" customHeight="1" x14ac:dyDescent="0.3">
      <c r="A8" s="9">
        <v>5</v>
      </c>
      <c r="B8" s="7" t="s">
        <v>28</v>
      </c>
      <c r="C8" s="7" t="s">
        <v>19</v>
      </c>
      <c r="D8" s="7">
        <v>100</v>
      </c>
      <c r="E8" s="7" t="s">
        <v>20</v>
      </c>
      <c r="F8" s="7" t="s">
        <v>25</v>
      </c>
      <c r="G8" s="7" t="s">
        <v>22</v>
      </c>
      <c r="H8" s="8">
        <v>0.36</v>
      </c>
      <c r="I8" s="8">
        <v>0.46310000000000001</v>
      </c>
      <c r="J8" s="8">
        <v>0.11</v>
      </c>
      <c r="K8" s="8">
        <v>0.44519999999999998</v>
      </c>
      <c r="L8" s="8">
        <v>0.54830000000000001</v>
      </c>
      <c r="M8" s="8">
        <v>0.39729999999999999</v>
      </c>
      <c r="N8" s="8">
        <v>7.0000000000000007E-2</v>
      </c>
      <c r="O8" s="8">
        <v>0.29060000000000002</v>
      </c>
      <c r="P8" s="8">
        <v>0.64329999999999998</v>
      </c>
      <c r="Q8" s="7"/>
      <c r="R8" s="7"/>
    </row>
    <row r="9" spans="1:18" ht="18" customHeight="1" x14ac:dyDescent="0.3">
      <c r="A9" s="9">
        <v>6</v>
      </c>
      <c r="B9" s="3" t="s">
        <v>28</v>
      </c>
      <c r="C9" s="3" t="s">
        <v>19</v>
      </c>
      <c r="D9" s="3">
        <v>100</v>
      </c>
      <c r="E9" s="3" t="s">
        <v>20</v>
      </c>
      <c r="F9" s="3" t="s">
        <v>26</v>
      </c>
      <c r="G9" s="3" t="s">
        <v>22</v>
      </c>
      <c r="H9" s="4">
        <v>0.36</v>
      </c>
      <c r="I9" s="4">
        <v>0.46350000000000002</v>
      </c>
      <c r="J9" s="4">
        <v>0.11</v>
      </c>
      <c r="K9" s="4">
        <v>0.46429999999999999</v>
      </c>
      <c r="L9" s="4">
        <v>0.58830000000000005</v>
      </c>
      <c r="M9" s="4">
        <v>0.40649999999999997</v>
      </c>
      <c r="N9" s="4">
        <v>7.0000000000000007E-2</v>
      </c>
      <c r="O9" s="4">
        <v>0.30020000000000002</v>
      </c>
      <c r="P9" s="4">
        <v>0.59419999999999995</v>
      </c>
      <c r="Q9" s="3"/>
      <c r="R9" s="3"/>
    </row>
    <row r="10" spans="1:18" ht="22.05" customHeight="1" x14ac:dyDescent="0.3">
      <c r="A10" s="31" t="s">
        <v>29</v>
      </c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</row>
    <row r="11" spans="1:18" ht="18" customHeight="1" x14ac:dyDescent="0.3">
      <c r="A11" s="13">
        <v>7</v>
      </c>
      <c r="B11" s="5" t="s">
        <v>30</v>
      </c>
      <c r="C11" s="5" t="s">
        <v>19</v>
      </c>
      <c r="D11" s="5">
        <v>100</v>
      </c>
      <c r="E11" s="5" t="s">
        <v>20</v>
      </c>
      <c r="F11" s="5" t="s">
        <v>21</v>
      </c>
      <c r="G11" s="5" t="s">
        <v>22</v>
      </c>
      <c r="H11" s="14">
        <v>0.35</v>
      </c>
      <c r="I11" s="14">
        <v>0.50490000000000002</v>
      </c>
      <c r="J11" s="14">
        <v>0.22</v>
      </c>
      <c r="K11" s="14">
        <v>0.57730000000000004</v>
      </c>
      <c r="L11" s="14">
        <v>0.68830000000000002</v>
      </c>
      <c r="M11" s="14">
        <v>0.52649999999999997</v>
      </c>
      <c r="N11" s="14">
        <v>0.13</v>
      </c>
      <c r="O11" s="14">
        <v>0.37219999999999998</v>
      </c>
      <c r="P11" s="14">
        <v>0.60880000000000001</v>
      </c>
      <c r="Q11" s="5"/>
      <c r="R11" s="5"/>
    </row>
    <row r="12" spans="1:18" ht="18" customHeight="1" x14ac:dyDescent="0.3">
      <c r="A12" s="10">
        <v>8</v>
      </c>
      <c r="B12" s="11" t="s">
        <v>30</v>
      </c>
      <c r="C12" s="11" t="s">
        <v>19</v>
      </c>
      <c r="D12" s="11">
        <v>100</v>
      </c>
      <c r="E12" s="11" t="s">
        <v>20</v>
      </c>
      <c r="F12" s="11" t="s">
        <v>23</v>
      </c>
      <c r="G12" s="11" t="s">
        <v>22</v>
      </c>
      <c r="H12" s="12">
        <v>0.32</v>
      </c>
      <c r="I12" s="12">
        <v>0.47299999999999998</v>
      </c>
      <c r="J12" s="12">
        <v>0.24</v>
      </c>
      <c r="K12" s="12">
        <v>0.54900000000000004</v>
      </c>
      <c r="L12" s="12">
        <v>0.64</v>
      </c>
      <c r="M12" s="12">
        <v>0.50800000000000001</v>
      </c>
      <c r="N12" s="12">
        <v>0.14000000000000001</v>
      </c>
      <c r="O12" s="12">
        <v>0.33479999999999999</v>
      </c>
      <c r="P12" s="12">
        <v>0.55430000000000001</v>
      </c>
      <c r="Q12" s="11"/>
      <c r="R12" s="11"/>
    </row>
    <row r="13" spans="1:18" ht="18" customHeight="1" x14ac:dyDescent="0.3">
      <c r="A13" s="13">
        <v>9</v>
      </c>
      <c r="B13" s="5" t="s">
        <v>30</v>
      </c>
      <c r="C13" s="5" t="s">
        <v>19</v>
      </c>
      <c r="D13" s="5">
        <v>100</v>
      </c>
      <c r="E13" s="5" t="s">
        <v>20</v>
      </c>
      <c r="F13" s="5" t="s">
        <v>24</v>
      </c>
      <c r="G13" s="5" t="s">
        <v>22</v>
      </c>
      <c r="H13" s="14">
        <v>0.33</v>
      </c>
      <c r="I13" s="14">
        <v>0.50039999999999996</v>
      </c>
      <c r="J13" s="14">
        <v>0.21</v>
      </c>
      <c r="K13" s="14">
        <v>0.54520000000000002</v>
      </c>
      <c r="L13" s="14">
        <v>0.6492</v>
      </c>
      <c r="M13" s="14">
        <v>0.49819999999999998</v>
      </c>
      <c r="N13" s="14">
        <v>0.11</v>
      </c>
      <c r="O13" s="14">
        <v>0.35260000000000002</v>
      </c>
      <c r="P13" s="14">
        <v>0.58579999999999999</v>
      </c>
      <c r="Q13" s="5"/>
      <c r="R13" s="5"/>
    </row>
    <row r="14" spans="1:18" ht="18" customHeight="1" x14ac:dyDescent="0.3">
      <c r="A14" s="6">
        <v>10</v>
      </c>
      <c r="B14" s="3" t="s">
        <v>30</v>
      </c>
      <c r="C14" s="3" t="s">
        <v>19</v>
      </c>
      <c r="D14" s="3">
        <v>100</v>
      </c>
      <c r="E14" s="3" t="s">
        <v>20</v>
      </c>
      <c r="F14" s="3" t="s">
        <v>25</v>
      </c>
      <c r="G14" s="3" t="s">
        <v>22</v>
      </c>
      <c r="H14" s="4">
        <v>0.4</v>
      </c>
      <c r="I14" s="4">
        <v>0.54849999999999999</v>
      </c>
      <c r="J14" s="4">
        <v>0.2</v>
      </c>
      <c r="K14" s="4">
        <v>0.56889999999999996</v>
      </c>
      <c r="L14" s="4">
        <v>0.66500000000000004</v>
      </c>
      <c r="M14" s="4">
        <v>0.5282</v>
      </c>
      <c r="N14" s="4">
        <v>0.13</v>
      </c>
      <c r="O14" s="4">
        <v>0.38979999999999998</v>
      </c>
      <c r="P14" s="4">
        <v>0.64319999999999999</v>
      </c>
      <c r="Q14" s="3"/>
      <c r="R14" s="3"/>
    </row>
    <row r="15" spans="1:18" ht="18" customHeight="1" x14ac:dyDescent="0.3">
      <c r="A15" s="13">
        <v>11</v>
      </c>
      <c r="B15" s="5" t="s">
        <v>30</v>
      </c>
      <c r="C15" s="5" t="s">
        <v>19</v>
      </c>
      <c r="D15" s="5">
        <v>100</v>
      </c>
      <c r="E15" s="5" t="s">
        <v>20</v>
      </c>
      <c r="F15" s="5" t="s">
        <v>26</v>
      </c>
      <c r="G15" s="5" t="s">
        <v>22</v>
      </c>
      <c r="H15" s="14">
        <v>0.35</v>
      </c>
      <c r="I15" s="14">
        <v>0.4894</v>
      </c>
      <c r="J15" s="14">
        <v>0.21</v>
      </c>
      <c r="K15" s="14">
        <v>0.54310000000000003</v>
      </c>
      <c r="L15" s="14">
        <v>0.64080000000000004</v>
      </c>
      <c r="M15" s="14">
        <v>0.50570000000000004</v>
      </c>
      <c r="N15" s="14">
        <v>0.13</v>
      </c>
      <c r="O15" s="14">
        <v>0.34599999999999997</v>
      </c>
      <c r="P15" s="14">
        <v>0.65069999999999995</v>
      </c>
      <c r="Q15" s="5"/>
      <c r="R15" s="5"/>
    </row>
    <row r="16" spans="1:18" ht="22.05" customHeight="1" x14ac:dyDescent="0.3">
      <c r="A16" s="31" t="s">
        <v>31</v>
      </c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</row>
    <row r="17" spans="1:18" ht="18" customHeight="1" x14ac:dyDescent="0.3">
      <c r="A17" s="6">
        <v>12</v>
      </c>
      <c r="B17" s="3" t="s">
        <v>32</v>
      </c>
      <c r="C17" s="3" t="s">
        <v>19</v>
      </c>
      <c r="D17" s="3">
        <v>100</v>
      </c>
      <c r="E17" s="3" t="s">
        <v>20</v>
      </c>
      <c r="F17" s="3" t="s">
        <v>21</v>
      </c>
      <c r="G17" s="3" t="s">
        <v>22</v>
      </c>
      <c r="H17" s="4">
        <v>0.43</v>
      </c>
      <c r="I17" s="4">
        <v>0.53969999999999996</v>
      </c>
      <c r="J17" s="4">
        <v>0.19</v>
      </c>
      <c r="K17" s="4">
        <v>0.56220000000000003</v>
      </c>
      <c r="L17" s="4">
        <v>0.68920000000000003</v>
      </c>
      <c r="M17" s="4">
        <v>0.51319999999999999</v>
      </c>
      <c r="N17" s="4">
        <v>0.12</v>
      </c>
      <c r="O17" s="4">
        <v>0.37069999999999997</v>
      </c>
      <c r="P17" s="4">
        <v>0.626</v>
      </c>
      <c r="Q17" s="3"/>
      <c r="R17" s="3"/>
    </row>
    <row r="18" spans="1:18" ht="18" customHeight="1" x14ac:dyDescent="0.3">
      <c r="A18" s="15">
        <v>13</v>
      </c>
      <c r="B18" s="7" t="s">
        <v>32</v>
      </c>
      <c r="C18" s="7" t="s">
        <v>19</v>
      </c>
      <c r="D18" s="7">
        <v>100</v>
      </c>
      <c r="E18" s="7" t="s">
        <v>20</v>
      </c>
      <c r="F18" s="7" t="s">
        <v>23</v>
      </c>
      <c r="G18" s="7" t="s">
        <v>22</v>
      </c>
      <c r="H18" s="8">
        <v>0.42</v>
      </c>
      <c r="I18" s="8">
        <v>0.53300000000000003</v>
      </c>
      <c r="J18" s="8">
        <v>0.19</v>
      </c>
      <c r="K18" s="8">
        <v>0.57489999999999997</v>
      </c>
      <c r="L18" s="8">
        <v>0.7</v>
      </c>
      <c r="M18" s="8">
        <v>0.52649999999999997</v>
      </c>
      <c r="N18" s="8">
        <v>0.12</v>
      </c>
      <c r="O18" s="8">
        <v>0.35930000000000001</v>
      </c>
      <c r="P18" s="8">
        <v>0.61329999999999996</v>
      </c>
      <c r="Q18" s="7"/>
      <c r="R18" s="7"/>
    </row>
    <row r="19" spans="1:18" ht="18" customHeight="1" x14ac:dyDescent="0.3">
      <c r="A19" s="15">
        <v>14</v>
      </c>
      <c r="B19" s="7" t="s">
        <v>32</v>
      </c>
      <c r="C19" s="7" t="s">
        <v>19</v>
      </c>
      <c r="D19" s="7">
        <v>100</v>
      </c>
      <c r="E19" s="7" t="s">
        <v>20</v>
      </c>
      <c r="F19" s="7" t="s">
        <v>24</v>
      </c>
      <c r="G19" s="7" t="s">
        <v>22</v>
      </c>
      <c r="H19" s="8">
        <v>0.44</v>
      </c>
      <c r="I19" s="8">
        <v>0.53580000000000005</v>
      </c>
      <c r="J19" s="8">
        <v>0.19</v>
      </c>
      <c r="K19" s="8">
        <v>0.5716</v>
      </c>
      <c r="L19" s="8">
        <v>0.68920000000000003</v>
      </c>
      <c r="M19" s="8">
        <v>0.52480000000000004</v>
      </c>
      <c r="N19" s="8">
        <v>0.12</v>
      </c>
      <c r="O19" s="8">
        <v>0.36399999999999999</v>
      </c>
      <c r="P19" s="8">
        <v>0.64080000000000004</v>
      </c>
      <c r="Q19" s="7"/>
      <c r="R19" s="7"/>
    </row>
    <row r="20" spans="1:18" ht="18" customHeight="1" x14ac:dyDescent="0.3">
      <c r="A20" s="10">
        <v>15</v>
      </c>
      <c r="B20" s="11" t="s">
        <v>32</v>
      </c>
      <c r="C20" s="11" t="s">
        <v>19</v>
      </c>
      <c r="D20" s="11">
        <v>100</v>
      </c>
      <c r="E20" s="11" t="s">
        <v>20</v>
      </c>
      <c r="F20" s="11" t="s">
        <v>25</v>
      </c>
      <c r="G20" s="11" t="s">
        <v>22</v>
      </c>
      <c r="H20" s="12">
        <v>0.28000000000000003</v>
      </c>
      <c r="I20" s="12">
        <v>0.3574</v>
      </c>
      <c r="J20" s="12">
        <v>0.04</v>
      </c>
      <c r="K20" s="12">
        <v>0.30570000000000003</v>
      </c>
      <c r="L20" s="12">
        <v>0.39329999999999998</v>
      </c>
      <c r="M20" s="12">
        <v>0.26919999999999999</v>
      </c>
      <c r="N20" s="12">
        <v>0.04</v>
      </c>
      <c r="O20" s="12">
        <v>0.1792</v>
      </c>
      <c r="P20" s="12">
        <v>0.435</v>
      </c>
      <c r="Q20" s="11"/>
      <c r="R20" s="11"/>
    </row>
    <row r="21" spans="1:18" ht="18" customHeight="1" x14ac:dyDescent="0.3">
      <c r="A21" s="15">
        <v>16</v>
      </c>
      <c r="B21" s="7" t="s">
        <v>32</v>
      </c>
      <c r="C21" s="7" t="s">
        <v>19</v>
      </c>
      <c r="D21" s="7">
        <v>100</v>
      </c>
      <c r="E21" s="7" t="s">
        <v>20</v>
      </c>
      <c r="F21" s="7" t="s">
        <v>26</v>
      </c>
      <c r="G21" s="7" t="s">
        <v>22</v>
      </c>
      <c r="H21" s="8">
        <v>0.41</v>
      </c>
      <c r="I21" s="8">
        <v>0.51300000000000001</v>
      </c>
      <c r="J21" s="8">
        <v>0.18</v>
      </c>
      <c r="K21" s="8">
        <v>0.56659999999999999</v>
      </c>
      <c r="L21" s="8">
        <v>0.6875</v>
      </c>
      <c r="M21" s="8">
        <v>0.51819999999999999</v>
      </c>
      <c r="N21" s="8">
        <v>0.12</v>
      </c>
      <c r="O21" s="8">
        <v>0.35859999999999997</v>
      </c>
      <c r="P21" s="8">
        <v>0.61919999999999997</v>
      </c>
      <c r="Q21" s="7"/>
      <c r="R21" s="7"/>
    </row>
    <row r="22" spans="1:18" ht="22.05" customHeight="1" x14ac:dyDescent="0.3">
      <c r="A22" s="31" t="s">
        <v>33</v>
      </c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</row>
    <row r="23" spans="1:18" ht="18" customHeight="1" x14ac:dyDescent="0.3">
      <c r="A23" s="16">
        <v>17</v>
      </c>
      <c r="B23" s="20" t="s">
        <v>42</v>
      </c>
      <c r="C23" s="5" t="s">
        <v>19</v>
      </c>
      <c r="D23" s="5">
        <v>100</v>
      </c>
      <c r="E23" s="5" t="s">
        <v>20</v>
      </c>
      <c r="F23" s="5" t="s">
        <v>21</v>
      </c>
      <c r="G23" s="5" t="s">
        <v>22</v>
      </c>
      <c r="H23" s="14">
        <v>0.4</v>
      </c>
      <c r="I23" s="14">
        <v>0.54300000000000004</v>
      </c>
      <c r="J23" s="14">
        <v>0.22</v>
      </c>
      <c r="K23" s="14">
        <v>0.56030000000000002</v>
      </c>
      <c r="L23" s="14">
        <v>0.67579999999999996</v>
      </c>
      <c r="M23" s="14">
        <v>0.51370000000000005</v>
      </c>
      <c r="N23" s="14">
        <v>0.09</v>
      </c>
      <c r="O23" s="14">
        <v>0.3866</v>
      </c>
      <c r="P23" s="14">
        <v>0.72350000000000003</v>
      </c>
      <c r="Q23" s="5"/>
      <c r="R23" s="5"/>
    </row>
    <row r="24" spans="1:18" ht="18" customHeight="1" x14ac:dyDescent="0.3">
      <c r="A24" s="6">
        <v>18</v>
      </c>
      <c r="B24" s="20" t="s">
        <v>42</v>
      </c>
      <c r="C24" s="11" t="s">
        <v>19</v>
      </c>
      <c r="D24" s="11">
        <v>100</v>
      </c>
      <c r="E24" s="11" t="s">
        <v>20</v>
      </c>
      <c r="F24" s="11" t="s">
        <v>23</v>
      </c>
      <c r="G24" s="11" t="s">
        <v>22</v>
      </c>
      <c r="H24" s="12">
        <v>0.38</v>
      </c>
      <c r="I24" s="12">
        <v>0.51559999999999995</v>
      </c>
      <c r="J24" s="12">
        <v>0.22</v>
      </c>
      <c r="K24" s="12">
        <v>0.57940000000000003</v>
      </c>
      <c r="L24" s="12">
        <v>0.68579999999999997</v>
      </c>
      <c r="M24" s="12">
        <v>0.5323</v>
      </c>
      <c r="N24" s="12">
        <v>0.09</v>
      </c>
      <c r="O24" s="12">
        <v>0.3841</v>
      </c>
      <c r="P24" s="12">
        <v>0.67530000000000001</v>
      </c>
      <c r="Q24" s="11"/>
      <c r="R24" s="11"/>
    </row>
    <row r="25" spans="1:18" ht="18" customHeight="1" x14ac:dyDescent="0.3">
      <c r="A25" s="16">
        <v>19</v>
      </c>
      <c r="B25" s="20" t="s">
        <v>42</v>
      </c>
      <c r="C25" s="5" t="s">
        <v>19</v>
      </c>
      <c r="D25" s="5">
        <v>100</v>
      </c>
      <c r="E25" s="5" t="s">
        <v>20</v>
      </c>
      <c r="F25" s="5" t="s">
        <v>24</v>
      </c>
      <c r="G25" s="5" t="s">
        <v>22</v>
      </c>
      <c r="H25" s="14">
        <v>0.42</v>
      </c>
      <c r="I25" s="14">
        <v>0.54979999999999996</v>
      </c>
      <c r="J25" s="14">
        <v>0.22</v>
      </c>
      <c r="K25" s="14">
        <v>0.57040000000000002</v>
      </c>
      <c r="L25" s="14">
        <v>0.69079999999999997</v>
      </c>
      <c r="M25" s="14">
        <v>0.52070000000000005</v>
      </c>
      <c r="N25" s="14">
        <v>0.1</v>
      </c>
      <c r="O25" s="14">
        <v>0.3866</v>
      </c>
      <c r="P25" s="14">
        <v>0.67749999999999999</v>
      </c>
      <c r="Q25" s="5"/>
      <c r="R25" s="5"/>
    </row>
    <row r="26" spans="1:18" ht="18" customHeight="1" x14ac:dyDescent="0.3">
      <c r="A26" s="10">
        <v>20</v>
      </c>
      <c r="B26" s="20" t="s">
        <v>42</v>
      </c>
      <c r="C26" s="5" t="s">
        <v>19</v>
      </c>
      <c r="D26" s="5">
        <v>100</v>
      </c>
      <c r="E26" s="5" t="s">
        <v>20</v>
      </c>
      <c r="F26" s="5" t="s">
        <v>25</v>
      </c>
      <c r="G26" s="5" t="s">
        <v>22</v>
      </c>
      <c r="H26" s="14">
        <v>0.39</v>
      </c>
      <c r="I26" s="14">
        <v>0.5232</v>
      </c>
      <c r="J26" s="14">
        <v>0.14000000000000001</v>
      </c>
      <c r="K26" s="14">
        <v>0.49640000000000001</v>
      </c>
      <c r="L26" s="14">
        <v>0.60580000000000001</v>
      </c>
      <c r="M26" s="14">
        <v>0.44819999999999999</v>
      </c>
      <c r="N26" s="14">
        <v>0.08</v>
      </c>
      <c r="O26" s="14">
        <v>0.3306</v>
      </c>
      <c r="P26" s="14">
        <v>0.61080000000000001</v>
      </c>
      <c r="Q26" s="5"/>
      <c r="R26" s="5"/>
    </row>
    <row r="27" spans="1:18" ht="18" customHeight="1" x14ac:dyDescent="0.3">
      <c r="A27" s="16">
        <v>21</v>
      </c>
      <c r="B27" s="20" t="s">
        <v>42</v>
      </c>
      <c r="C27" s="3" t="s">
        <v>19</v>
      </c>
      <c r="D27" s="3">
        <v>100</v>
      </c>
      <c r="E27" s="3" t="s">
        <v>20</v>
      </c>
      <c r="F27" s="3" t="s">
        <v>26</v>
      </c>
      <c r="G27" s="3" t="s">
        <v>22</v>
      </c>
      <c r="H27" s="4">
        <v>0.43</v>
      </c>
      <c r="I27" s="4">
        <v>0.55030000000000001</v>
      </c>
      <c r="J27" s="4">
        <v>0.22</v>
      </c>
      <c r="K27" s="4">
        <v>0.58140000000000003</v>
      </c>
      <c r="L27" s="4">
        <v>0.69420000000000004</v>
      </c>
      <c r="M27" s="4">
        <v>0.53400000000000003</v>
      </c>
      <c r="N27" s="4">
        <v>0.11</v>
      </c>
      <c r="O27" s="4">
        <v>0.39850000000000002</v>
      </c>
      <c r="P27" s="4">
        <v>0.68079999999999996</v>
      </c>
      <c r="Q27" s="3"/>
      <c r="R27" s="3"/>
    </row>
    <row r="28" spans="1:18" ht="22.05" customHeight="1" x14ac:dyDescent="0.3">
      <c r="A28" s="31" t="s">
        <v>34</v>
      </c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</row>
    <row r="29" spans="1:18" ht="18" customHeight="1" x14ac:dyDescent="0.3">
      <c r="A29" s="6">
        <v>22</v>
      </c>
      <c r="B29" s="20" t="s">
        <v>41</v>
      </c>
      <c r="C29" s="7" t="s">
        <v>19</v>
      </c>
      <c r="D29" s="7">
        <v>100</v>
      </c>
      <c r="E29" s="7" t="s">
        <v>20</v>
      </c>
      <c r="F29" s="7" t="s">
        <v>21</v>
      </c>
      <c r="G29" s="7" t="s">
        <v>22</v>
      </c>
      <c r="H29" s="8">
        <v>0.5</v>
      </c>
      <c r="I29" s="8">
        <v>0.64229999999999998</v>
      </c>
      <c r="J29" s="8">
        <v>0.22</v>
      </c>
      <c r="K29" s="8">
        <v>0.63700000000000001</v>
      </c>
      <c r="L29" s="8">
        <v>0.75080000000000002</v>
      </c>
      <c r="M29" s="8">
        <v>0.5857</v>
      </c>
      <c r="N29" s="8">
        <v>0.13</v>
      </c>
      <c r="O29" s="8">
        <v>0.4743</v>
      </c>
      <c r="P29" s="8">
        <v>0.85029999999999994</v>
      </c>
      <c r="Q29" s="7"/>
      <c r="R29" s="7"/>
    </row>
    <row r="30" spans="1:18" ht="18" customHeight="1" x14ac:dyDescent="0.3">
      <c r="A30" s="17">
        <v>23</v>
      </c>
      <c r="B30" s="20" t="s">
        <v>41</v>
      </c>
      <c r="C30" s="3" t="s">
        <v>19</v>
      </c>
      <c r="D30" s="3">
        <v>100</v>
      </c>
      <c r="E30" s="3" t="s">
        <v>20</v>
      </c>
      <c r="F30" s="3" t="s">
        <v>23</v>
      </c>
      <c r="G30" s="3" t="s">
        <v>22</v>
      </c>
      <c r="H30" s="4">
        <v>0.53</v>
      </c>
      <c r="I30" s="4">
        <v>0.66039999999999999</v>
      </c>
      <c r="J30" s="4">
        <v>0.19</v>
      </c>
      <c r="K30" s="4">
        <v>0.624</v>
      </c>
      <c r="L30" s="4">
        <v>0.74080000000000001</v>
      </c>
      <c r="M30" s="4">
        <v>0.56899999999999995</v>
      </c>
      <c r="N30" s="4">
        <v>0.12</v>
      </c>
      <c r="O30" s="4">
        <v>0.45800000000000002</v>
      </c>
      <c r="P30" s="4">
        <v>0.74580000000000002</v>
      </c>
      <c r="Q30" s="3"/>
      <c r="R30" s="3"/>
    </row>
    <row r="31" spans="1:18" ht="18" customHeight="1" x14ac:dyDescent="0.3">
      <c r="A31" s="17">
        <v>24</v>
      </c>
      <c r="B31" s="20" t="s">
        <v>41</v>
      </c>
      <c r="C31" s="7" t="s">
        <v>19</v>
      </c>
      <c r="D31" s="7">
        <v>100</v>
      </c>
      <c r="E31" s="7" t="s">
        <v>20</v>
      </c>
      <c r="F31" s="7" t="s">
        <v>24</v>
      </c>
      <c r="G31" s="7" t="s">
        <v>22</v>
      </c>
      <c r="H31" s="8">
        <v>0.48</v>
      </c>
      <c r="I31" s="8">
        <v>0.627</v>
      </c>
      <c r="J31" s="8">
        <v>0.21</v>
      </c>
      <c r="K31" s="8">
        <v>0.61140000000000005</v>
      </c>
      <c r="L31" s="8">
        <v>0.7258</v>
      </c>
      <c r="M31" s="8">
        <v>0.55730000000000002</v>
      </c>
      <c r="N31" s="8">
        <v>0.13</v>
      </c>
      <c r="O31" s="8">
        <v>0.4501</v>
      </c>
      <c r="P31" s="8">
        <v>0.73499999999999999</v>
      </c>
      <c r="Q31" s="7"/>
      <c r="R31" s="7"/>
    </row>
    <row r="32" spans="1:18" ht="18" customHeight="1" x14ac:dyDescent="0.3">
      <c r="A32" s="10">
        <v>25</v>
      </c>
      <c r="B32" s="20" t="s">
        <v>41</v>
      </c>
      <c r="C32" s="11" t="s">
        <v>19</v>
      </c>
      <c r="D32" s="11">
        <v>100</v>
      </c>
      <c r="E32" s="11" t="s">
        <v>20</v>
      </c>
      <c r="F32" s="11" t="s">
        <v>25</v>
      </c>
      <c r="G32" s="11" t="s">
        <v>22</v>
      </c>
      <c r="H32" s="12">
        <v>0.4</v>
      </c>
      <c r="I32" s="12">
        <v>0.54190000000000005</v>
      </c>
      <c r="J32" s="12">
        <v>0.19</v>
      </c>
      <c r="K32" s="12">
        <v>0.4899</v>
      </c>
      <c r="L32" s="12">
        <v>0.55830000000000002</v>
      </c>
      <c r="M32" s="12">
        <v>0.4582</v>
      </c>
      <c r="N32" s="12">
        <v>0.11</v>
      </c>
      <c r="O32" s="12">
        <v>0.34110000000000001</v>
      </c>
      <c r="P32" s="12">
        <v>0.62229999999999996</v>
      </c>
      <c r="Q32" s="11"/>
      <c r="R32" s="11"/>
    </row>
    <row r="33" spans="1:18" ht="18" customHeight="1" x14ac:dyDescent="0.3">
      <c r="A33" s="17">
        <v>26</v>
      </c>
      <c r="B33" s="20" t="s">
        <v>41</v>
      </c>
      <c r="C33" s="7" t="s">
        <v>19</v>
      </c>
      <c r="D33" s="7">
        <v>100</v>
      </c>
      <c r="E33" s="7" t="s">
        <v>20</v>
      </c>
      <c r="F33" s="7" t="s">
        <v>26</v>
      </c>
      <c r="G33" s="7" t="s">
        <v>22</v>
      </c>
      <c r="H33" s="8">
        <v>0.52</v>
      </c>
      <c r="I33" s="8">
        <v>0.64849999999999997</v>
      </c>
      <c r="J33" s="8">
        <v>0.21</v>
      </c>
      <c r="K33" s="8">
        <v>0.629</v>
      </c>
      <c r="L33" s="8">
        <v>0.74419999999999997</v>
      </c>
      <c r="M33" s="8">
        <v>0.57069999999999999</v>
      </c>
      <c r="N33" s="8">
        <v>0.15</v>
      </c>
      <c r="O33" s="8">
        <v>0.47189999999999999</v>
      </c>
      <c r="P33" s="8">
        <v>0.74450000000000005</v>
      </c>
      <c r="Q33" s="7"/>
      <c r="R33" s="7"/>
    </row>
    <row r="35" spans="1:18" x14ac:dyDescent="0.3">
      <c r="A35" s="18" t="s">
        <v>35</v>
      </c>
      <c r="B35" s="3" t="s">
        <v>36</v>
      </c>
      <c r="C35" s="11" t="s">
        <v>37</v>
      </c>
      <c r="D35" s="19" t="s">
        <v>38</v>
      </c>
    </row>
    <row r="37" spans="1:18" x14ac:dyDescent="0.3">
      <c r="L37" s="21">
        <v>0.46350000000000002</v>
      </c>
      <c r="M37" s="8">
        <v>0.45079999999999998</v>
      </c>
      <c r="N37">
        <f>SUM(L37:M41)/10</f>
        <v>0.47675999999999991</v>
      </c>
    </row>
    <row r="38" spans="1:18" x14ac:dyDescent="0.3">
      <c r="L38" s="22">
        <v>0.47260000000000002</v>
      </c>
      <c r="M38" s="8">
        <v>0.44030000000000002</v>
      </c>
    </row>
    <row r="39" spans="1:18" x14ac:dyDescent="0.3">
      <c r="L39" s="22">
        <v>0.51859999999999995</v>
      </c>
      <c r="M39" s="12">
        <v>0.4395</v>
      </c>
    </row>
    <row r="40" spans="1:18" x14ac:dyDescent="0.3">
      <c r="L40" s="23">
        <v>0.56820000000000004</v>
      </c>
      <c r="M40" s="8">
        <v>0.46310000000000001</v>
      </c>
    </row>
    <row r="41" spans="1:18" x14ac:dyDescent="0.3">
      <c r="L41" s="22">
        <v>0.48749999999999999</v>
      </c>
      <c r="M41" s="4">
        <v>0.46350000000000002</v>
      </c>
    </row>
  </sheetData>
  <mergeCells count="6">
    <mergeCell ref="A16:R16"/>
    <mergeCell ref="A22:R22"/>
    <mergeCell ref="A2:R2"/>
    <mergeCell ref="A28:R28"/>
    <mergeCell ref="A10:R10"/>
    <mergeCell ref="A4:R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6554B-8C8E-4A6C-8CAC-D8E3C3A9927A}">
  <dimension ref="A1:R37"/>
  <sheetViews>
    <sheetView tabSelected="1" workbookViewId="0">
      <selection activeCell="D3" sqref="D3"/>
    </sheetView>
  </sheetViews>
  <sheetFormatPr defaultRowHeight="14.4" x14ac:dyDescent="0.3"/>
  <sheetData>
    <row r="1" spans="1:18" ht="57.6" x14ac:dyDescent="0.3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40</v>
      </c>
      <c r="Q1" s="24" t="s">
        <v>15</v>
      </c>
      <c r="R1" s="24" t="s">
        <v>16</v>
      </c>
    </row>
    <row r="2" spans="1:18" x14ac:dyDescent="0.3">
      <c r="A2" s="29" t="s">
        <v>43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3" spans="1:18" x14ac:dyDescent="0.3">
      <c r="A3" s="2">
        <v>1</v>
      </c>
      <c r="B3" s="3" t="s">
        <v>18</v>
      </c>
      <c r="C3" s="3" t="s">
        <v>19</v>
      </c>
      <c r="D3" s="3">
        <v>500</v>
      </c>
      <c r="E3" s="3" t="s">
        <v>20</v>
      </c>
      <c r="F3" s="3" t="s">
        <v>39</v>
      </c>
      <c r="G3" s="3" t="s">
        <v>22</v>
      </c>
      <c r="H3" s="4">
        <v>0.36</v>
      </c>
      <c r="I3" s="4">
        <v>0.47539999999999999</v>
      </c>
      <c r="J3" s="4">
        <v>0.15</v>
      </c>
      <c r="K3" s="4">
        <v>0.51470000000000005</v>
      </c>
      <c r="L3" s="4">
        <v>0.64329999999999998</v>
      </c>
      <c r="M3" s="4">
        <v>0.45729999999999998</v>
      </c>
      <c r="N3" s="4">
        <v>0.1</v>
      </c>
      <c r="O3" s="4">
        <v>0.31490000000000001</v>
      </c>
      <c r="P3" s="4">
        <v>0.54300000000000004</v>
      </c>
      <c r="Q3" s="25"/>
      <c r="R3" s="25" t="s">
        <v>44</v>
      </c>
    </row>
    <row r="4" spans="1:18" x14ac:dyDescent="0.3">
      <c r="A4" s="29" t="s">
        <v>45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</row>
    <row r="5" spans="1:18" x14ac:dyDescent="0.3">
      <c r="A5" s="26">
        <v>6</v>
      </c>
      <c r="B5" s="26" t="s">
        <v>28</v>
      </c>
      <c r="C5" s="26" t="s">
        <v>19</v>
      </c>
      <c r="D5" s="26">
        <v>500</v>
      </c>
      <c r="E5" s="26" t="s">
        <v>20</v>
      </c>
      <c r="F5" s="26" t="s">
        <v>26</v>
      </c>
      <c r="G5" s="26" t="s">
        <v>22</v>
      </c>
      <c r="H5" s="21">
        <v>0.36</v>
      </c>
      <c r="I5" s="21">
        <v>0.46350000000000002</v>
      </c>
      <c r="J5" s="21">
        <v>0.11</v>
      </c>
      <c r="K5" s="21">
        <v>0.46429999999999999</v>
      </c>
      <c r="L5" s="21">
        <v>0.58830000000000005</v>
      </c>
      <c r="M5" s="21">
        <v>0.40649999999999997</v>
      </c>
      <c r="N5" s="21">
        <v>7.0000000000000007E-2</v>
      </c>
      <c r="O5" s="21">
        <v>0.30020000000000002</v>
      </c>
      <c r="P5" s="21">
        <v>0.59419999999999995</v>
      </c>
      <c r="Q5" s="26"/>
      <c r="R5" s="26"/>
    </row>
    <row r="6" spans="1:18" x14ac:dyDescent="0.3">
      <c r="A6" s="27">
        <v>7</v>
      </c>
      <c r="B6" s="27" t="s">
        <v>28</v>
      </c>
      <c r="C6" s="27" t="s">
        <v>19</v>
      </c>
      <c r="D6" s="27">
        <v>500</v>
      </c>
      <c r="E6" s="27" t="s">
        <v>46</v>
      </c>
      <c r="F6" s="27" t="s">
        <v>26</v>
      </c>
      <c r="G6" s="27" t="s">
        <v>22</v>
      </c>
      <c r="H6" s="22">
        <v>0.33</v>
      </c>
      <c r="I6" s="22">
        <v>0.47260000000000002</v>
      </c>
      <c r="J6" s="22">
        <v>0.14000000000000001</v>
      </c>
      <c r="K6" s="22">
        <v>0.51580000000000004</v>
      </c>
      <c r="L6" s="22">
        <v>0.67500000000000004</v>
      </c>
      <c r="M6" s="22">
        <v>0.44400000000000001</v>
      </c>
      <c r="N6" s="22">
        <v>7.0000000000000007E-2</v>
      </c>
      <c r="O6" s="22">
        <v>0.32019999999999998</v>
      </c>
      <c r="P6" s="22">
        <v>0.64170000000000005</v>
      </c>
      <c r="Q6" s="27"/>
      <c r="R6" s="27"/>
    </row>
    <row r="7" spans="1:18" x14ac:dyDescent="0.3">
      <c r="A7" s="27">
        <v>8</v>
      </c>
      <c r="B7" s="27" t="s">
        <v>28</v>
      </c>
      <c r="C7" s="27" t="s">
        <v>19</v>
      </c>
      <c r="D7" s="27">
        <v>500</v>
      </c>
      <c r="E7" s="27" t="s">
        <v>47</v>
      </c>
      <c r="F7" s="27" t="s">
        <v>26</v>
      </c>
      <c r="G7" s="27" t="s">
        <v>22</v>
      </c>
      <c r="H7" s="22">
        <v>0.37</v>
      </c>
      <c r="I7" s="22">
        <v>0.51859999999999995</v>
      </c>
      <c r="J7" s="22">
        <v>0.22</v>
      </c>
      <c r="K7" s="22">
        <v>0.61409999999999998</v>
      </c>
      <c r="L7" s="22">
        <v>0.73170000000000002</v>
      </c>
      <c r="M7" s="22">
        <v>0.56030000000000002</v>
      </c>
      <c r="N7" s="22">
        <v>0.13</v>
      </c>
      <c r="O7" s="22">
        <v>0.38979999999999998</v>
      </c>
      <c r="P7" s="22">
        <v>0.70309999999999995</v>
      </c>
      <c r="Q7" s="27"/>
      <c r="R7" s="27"/>
    </row>
    <row r="8" spans="1:18" x14ac:dyDescent="0.3">
      <c r="A8" s="28">
        <v>9</v>
      </c>
      <c r="B8" s="28" t="s">
        <v>28</v>
      </c>
      <c r="C8" s="28" t="s">
        <v>19</v>
      </c>
      <c r="D8" s="28">
        <v>500</v>
      </c>
      <c r="E8" s="28" t="s">
        <v>48</v>
      </c>
      <c r="F8" s="28" t="s">
        <v>26</v>
      </c>
      <c r="G8" s="28" t="s">
        <v>22</v>
      </c>
      <c r="H8" s="23">
        <v>0.42</v>
      </c>
      <c r="I8" s="23">
        <v>0.56820000000000004</v>
      </c>
      <c r="J8" s="23">
        <v>0.28999999999999998</v>
      </c>
      <c r="K8" s="23">
        <v>0.63009999999999999</v>
      </c>
      <c r="L8" s="23">
        <v>0.745</v>
      </c>
      <c r="M8" s="23">
        <v>0.57450000000000001</v>
      </c>
      <c r="N8" s="23">
        <v>0.19</v>
      </c>
      <c r="O8" s="23">
        <v>0.44729999999999998</v>
      </c>
      <c r="P8" s="23">
        <v>0.71330000000000005</v>
      </c>
      <c r="Q8" s="28"/>
      <c r="R8" s="28"/>
    </row>
    <row r="9" spans="1:18" x14ac:dyDescent="0.3">
      <c r="A9" s="27">
        <v>10</v>
      </c>
      <c r="B9" s="27" t="s">
        <v>28</v>
      </c>
      <c r="C9" s="27" t="s">
        <v>19</v>
      </c>
      <c r="D9" s="27">
        <v>500</v>
      </c>
      <c r="E9" s="27" t="s">
        <v>49</v>
      </c>
      <c r="F9" s="27" t="s">
        <v>26</v>
      </c>
      <c r="G9" s="27" t="s">
        <v>22</v>
      </c>
      <c r="H9" s="22">
        <v>0.36</v>
      </c>
      <c r="I9" s="22">
        <v>0.48749999999999999</v>
      </c>
      <c r="J9" s="22">
        <v>0.16</v>
      </c>
      <c r="K9" s="22">
        <v>0.51929999999999998</v>
      </c>
      <c r="L9" s="22">
        <v>0.66749999999999998</v>
      </c>
      <c r="M9" s="22">
        <v>0.45569999999999999</v>
      </c>
      <c r="N9" s="22">
        <v>0.1</v>
      </c>
      <c r="O9" s="22">
        <v>0.33019999999999999</v>
      </c>
      <c r="P9" s="22">
        <v>0.61329999999999996</v>
      </c>
      <c r="Q9" s="27"/>
      <c r="R9" s="27"/>
    </row>
    <row r="11" spans="1:18" x14ac:dyDescent="0.3">
      <c r="A11" s="29" t="s">
        <v>50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</row>
    <row r="12" spans="1:18" x14ac:dyDescent="0.3">
      <c r="A12" s="26">
        <v>11</v>
      </c>
      <c r="B12" s="26" t="s">
        <v>30</v>
      </c>
      <c r="C12" s="26" t="s">
        <v>19</v>
      </c>
      <c r="D12" s="26">
        <v>500</v>
      </c>
      <c r="E12" s="26" t="s">
        <v>20</v>
      </c>
      <c r="F12" s="26" t="s">
        <v>26</v>
      </c>
      <c r="G12" s="26" t="s">
        <v>22</v>
      </c>
      <c r="H12" s="21">
        <v>0.35</v>
      </c>
      <c r="I12" s="21">
        <v>0.4894</v>
      </c>
      <c r="J12" s="21">
        <v>0.21</v>
      </c>
      <c r="K12" s="21">
        <v>0.54310000000000003</v>
      </c>
      <c r="L12" s="21">
        <v>0.64080000000000004</v>
      </c>
      <c r="M12" s="21">
        <v>0.50570000000000004</v>
      </c>
      <c r="N12" s="21">
        <v>0.13</v>
      </c>
      <c r="O12" s="21">
        <v>0.34599999999999997</v>
      </c>
      <c r="P12" s="21">
        <v>0.65069999999999995</v>
      </c>
      <c r="Q12" s="26"/>
      <c r="R12" s="26"/>
    </row>
    <row r="13" spans="1:18" x14ac:dyDescent="0.3">
      <c r="A13" s="27">
        <v>12</v>
      </c>
      <c r="B13" s="27" t="s">
        <v>30</v>
      </c>
      <c r="C13" s="27" t="s">
        <v>19</v>
      </c>
      <c r="D13" s="27">
        <v>500</v>
      </c>
      <c r="E13" s="27" t="s">
        <v>46</v>
      </c>
      <c r="F13" s="27" t="s">
        <v>26</v>
      </c>
      <c r="G13" s="27" t="s">
        <v>22</v>
      </c>
      <c r="H13" s="22">
        <v>0.44</v>
      </c>
      <c r="I13" s="22">
        <v>0.58730000000000004</v>
      </c>
      <c r="J13" s="22">
        <v>0.22</v>
      </c>
      <c r="K13" s="22">
        <v>0.5786</v>
      </c>
      <c r="L13" s="22">
        <v>0.7117</v>
      </c>
      <c r="M13" s="22">
        <v>0.51729999999999998</v>
      </c>
      <c r="N13" s="22">
        <v>0.14000000000000001</v>
      </c>
      <c r="O13" s="22">
        <v>0.41899999999999998</v>
      </c>
      <c r="P13" s="22">
        <v>0.6492</v>
      </c>
      <c r="Q13" s="27"/>
      <c r="R13" s="27"/>
    </row>
    <row r="14" spans="1:18" x14ac:dyDescent="0.3">
      <c r="A14" s="27">
        <v>13</v>
      </c>
      <c r="B14" s="27" t="s">
        <v>30</v>
      </c>
      <c r="C14" s="27" t="s">
        <v>19</v>
      </c>
      <c r="D14" s="27">
        <v>500</v>
      </c>
      <c r="E14" s="27" t="s">
        <v>47</v>
      </c>
      <c r="F14" s="27" t="s">
        <v>26</v>
      </c>
      <c r="G14" s="27" t="s">
        <v>22</v>
      </c>
      <c r="H14" s="22">
        <v>0.45</v>
      </c>
      <c r="I14" s="22">
        <v>0.58660000000000001</v>
      </c>
      <c r="J14" s="22">
        <v>0.32</v>
      </c>
      <c r="K14" s="22">
        <v>0.64180000000000004</v>
      </c>
      <c r="L14" s="22">
        <v>0.72250000000000003</v>
      </c>
      <c r="M14" s="22">
        <v>0.60229999999999995</v>
      </c>
      <c r="N14" s="22">
        <v>0.17</v>
      </c>
      <c r="O14" s="22">
        <v>0.4476</v>
      </c>
      <c r="P14" s="22">
        <v>0.77110000000000001</v>
      </c>
      <c r="Q14" s="27"/>
      <c r="R14" s="27"/>
    </row>
    <row r="15" spans="1:18" x14ac:dyDescent="0.3">
      <c r="A15" s="28">
        <v>14</v>
      </c>
      <c r="B15" s="28" t="s">
        <v>30</v>
      </c>
      <c r="C15" s="28" t="s">
        <v>19</v>
      </c>
      <c r="D15" s="28">
        <v>500</v>
      </c>
      <c r="E15" s="28" t="s">
        <v>48</v>
      </c>
      <c r="F15" s="28" t="s">
        <v>26</v>
      </c>
      <c r="G15" s="28" t="s">
        <v>22</v>
      </c>
      <c r="H15" s="23">
        <v>0.45</v>
      </c>
      <c r="I15" s="23">
        <v>0.60970000000000002</v>
      </c>
      <c r="J15" s="23">
        <v>0.31</v>
      </c>
      <c r="K15" s="23">
        <v>0.62890000000000001</v>
      </c>
      <c r="L15" s="23">
        <v>0.72170000000000001</v>
      </c>
      <c r="M15" s="23">
        <v>0.58479999999999999</v>
      </c>
      <c r="N15" s="23">
        <v>0.19</v>
      </c>
      <c r="O15" s="23">
        <v>0.45910000000000001</v>
      </c>
      <c r="P15" s="23">
        <v>0.70399999999999996</v>
      </c>
      <c r="Q15" s="28"/>
      <c r="R15" s="28"/>
    </row>
    <row r="16" spans="1:18" x14ac:dyDescent="0.3">
      <c r="A16" s="27">
        <v>15</v>
      </c>
      <c r="B16" s="27" t="s">
        <v>30</v>
      </c>
      <c r="C16" s="27" t="s">
        <v>19</v>
      </c>
      <c r="D16" s="27">
        <v>500</v>
      </c>
      <c r="E16" s="27" t="s">
        <v>49</v>
      </c>
      <c r="F16" s="27" t="s">
        <v>26</v>
      </c>
      <c r="G16" s="27" t="s">
        <v>22</v>
      </c>
      <c r="H16" s="22">
        <v>0.38</v>
      </c>
      <c r="I16" s="22">
        <v>0.53320000000000001</v>
      </c>
      <c r="J16" s="22">
        <v>0.21</v>
      </c>
      <c r="K16" s="22">
        <v>0.56089999999999995</v>
      </c>
      <c r="L16" s="22">
        <v>0.66830000000000001</v>
      </c>
      <c r="M16" s="22">
        <v>0.51149999999999995</v>
      </c>
      <c r="N16" s="22">
        <v>0.11</v>
      </c>
      <c r="O16" s="22">
        <v>0.373</v>
      </c>
      <c r="P16" s="22">
        <v>0.60750000000000004</v>
      </c>
      <c r="Q16" s="27"/>
      <c r="R16" s="27"/>
    </row>
    <row r="18" spans="1:18" x14ac:dyDescent="0.3">
      <c r="A18" s="29" t="s">
        <v>51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</row>
    <row r="19" spans="1:18" x14ac:dyDescent="0.3">
      <c r="A19" s="27">
        <v>16</v>
      </c>
      <c r="B19" s="27" t="s">
        <v>32</v>
      </c>
      <c r="C19" s="27" t="s">
        <v>19</v>
      </c>
      <c r="D19" s="27">
        <v>500</v>
      </c>
      <c r="E19" s="27" t="s">
        <v>20</v>
      </c>
      <c r="F19" s="27" t="s">
        <v>26</v>
      </c>
      <c r="G19" s="27" t="s">
        <v>22</v>
      </c>
      <c r="H19" s="22">
        <v>0.41</v>
      </c>
      <c r="I19" s="22">
        <v>0.51300000000000001</v>
      </c>
      <c r="J19" s="22">
        <v>0.18</v>
      </c>
      <c r="K19" s="22">
        <v>0.56659999999999999</v>
      </c>
      <c r="L19" s="22">
        <v>0.6875</v>
      </c>
      <c r="M19" s="22">
        <v>0.51819999999999999</v>
      </c>
      <c r="N19" s="22">
        <v>0.12</v>
      </c>
      <c r="O19" s="22">
        <v>0.35859999999999997</v>
      </c>
      <c r="P19" s="22">
        <v>0.61919999999999997</v>
      </c>
      <c r="Q19" s="27"/>
      <c r="R19" s="27"/>
    </row>
    <row r="20" spans="1:18" x14ac:dyDescent="0.3">
      <c r="A20" s="26">
        <v>17</v>
      </c>
      <c r="B20" s="26" t="s">
        <v>32</v>
      </c>
      <c r="C20" s="26" t="s">
        <v>19</v>
      </c>
      <c r="D20" s="26">
        <v>500</v>
      </c>
      <c r="E20" s="26" t="s">
        <v>46</v>
      </c>
      <c r="F20" s="26" t="s">
        <v>26</v>
      </c>
      <c r="G20" s="26" t="s">
        <v>22</v>
      </c>
      <c r="H20" s="21">
        <v>0.38</v>
      </c>
      <c r="I20" s="21">
        <v>0.51139999999999997</v>
      </c>
      <c r="J20" s="21">
        <v>0.21</v>
      </c>
      <c r="K20" s="21">
        <v>0.56640000000000001</v>
      </c>
      <c r="L20" s="21">
        <v>0.69079999999999997</v>
      </c>
      <c r="M20" s="21">
        <v>0.51400000000000001</v>
      </c>
      <c r="N20" s="21">
        <v>0.13</v>
      </c>
      <c r="O20" s="21">
        <v>0.35089999999999999</v>
      </c>
      <c r="P20" s="21">
        <v>0.63719999999999999</v>
      </c>
      <c r="Q20" s="26"/>
      <c r="R20" s="26"/>
    </row>
    <row r="21" spans="1:18" x14ac:dyDescent="0.3">
      <c r="A21" s="27">
        <v>18</v>
      </c>
      <c r="B21" s="27" t="s">
        <v>32</v>
      </c>
      <c r="C21" s="27" t="s">
        <v>19</v>
      </c>
      <c r="D21" s="27">
        <v>500</v>
      </c>
      <c r="E21" s="27" t="s">
        <v>47</v>
      </c>
      <c r="F21" s="27" t="s">
        <v>26</v>
      </c>
      <c r="G21" s="27" t="s">
        <v>22</v>
      </c>
      <c r="H21" s="22">
        <v>0.42</v>
      </c>
      <c r="I21" s="22">
        <v>0.52649999999999997</v>
      </c>
      <c r="J21" s="22">
        <v>0.21</v>
      </c>
      <c r="K21" s="22">
        <v>0.56779999999999997</v>
      </c>
      <c r="L21" s="22">
        <v>0.70499999999999996</v>
      </c>
      <c r="M21" s="22">
        <v>0.51149999999999995</v>
      </c>
      <c r="N21" s="22">
        <v>0.14000000000000001</v>
      </c>
      <c r="O21" s="22">
        <v>0.37030000000000002</v>
      </c>
      <c r="P21" s="22">
        <v>0.65249999999999997</v>
      </c>
      <c r="Q21" s="27"/>
      <c r="R21" s="27"/>
    </row>
    <row r="22" spans="1:18" x14ac:dyDescent="0.3">
      <c r="A22" s="28">
        <v>19</v>
      </c>
      <c r="B22" s="28" t="s">
        <v>32</v>
      </c>
      <c r="C22" s="28" t="s">
        <v>19</v>
      </c>
      <c r="D22" s="28">
        <v>500</v>
      </c>
      <c r="E22" s="28" t="s">
        <v>48</v>
      </c>
      <c r="F22" s="28" t="s">
        <v>26</v>
      </c>
      <c r="G22" s="28" t="s">
        <v>22</v>
      </c>
      <c r="H22" s="23">
        <v>0.42</v>
      </c>
      <c r="I22" s="23">
        <v>0.56899999999999995</v>
      </c>
      <c r="J22" s="23">
        <v>0.24</v>
      </c>
      <c r="K22" s="23">
        <v>0.60970000000000002</v>
      </c>
      <c r="L22" s="23">
        <v>0.71750000000000003</v>
      </c>
      <c r="M22" s="23">
        <v>0.56320000000000003</v>
      </c>
      <c r="N22" s="23">
        <v>0.14000000000000001</v>
      </c>
      <c r="O22" s="23">
        <v>0.42320000000000002</v>
      </c>
      <c r="P22" s="23">
        <v>0.65790000000000004</v>
      </c>
      <c r="Q22" s="28"/>
      <c r="R22" s="28"/>
    </row>
    <row r="23" spans="1:18" x14ac:dyDescent="0.3">
      <c r="A23" s="27">
        <v>20</v>
      </c>
      <c r="B23" s="27" t="s">
        <v>32</v>
      </c>
      <c r="C23" s="27" t="s">
        <v>19</v>
      </c>
      <c r="D23" s="27">
        <v>500</v>
      </c>
      <c r="E23" s="27" t="s">
        <v>49</v>
      </c>
      <c r="F23" s="27" t="s">
        <v>26</v>
      </c>
      <c r="G23" s="27" t="s">
        <v>22</v>
      </c>
      <c r="H23" s="22">
        <v>0.39</v>
      </c>
      <c r="I23" s="22">
        <v>0.51259999999999994</v>
      </c>
      <c r="J23" s="22">
        <v>0.17</v>
      </c>
      <c r="K23" s="22">
        <v>0.5524</v>
      </c>
      <c r="L23" s="22">
        <v>0.69330000000000003</v>
      </c>
      <c r="M23" s="22">
        <v>0.49480000000000002</v>
      </c>
      <c r="N23" s="22">
        <v>0.1</v>
      </c>
      <c r="O23" s="22">
        <v>0.34329999999999999</v>
      </c>
      <c r="P23" s="22">
        <v>0.61450000000000005</v>
      </c>
      <c r="Q23" s="27"/>
      <c r="R23" s="27"/>
    </row>
    <row r="25" spans="1:18" x14ac:dyDescent="0.3">
      <c r="A25" s="29" t="s">
        <v>52</v>
      </c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</row>
    <row r="26" spans="1:18" x14ac:dyDescent="0.3">
      <c r="A26" s="27">
        <v>21</v>
      </c>
      <c r="B26" s="27" t="s">
        <v>42</v>
      </c>
      <c r="C26" s="27" t="s">
        <v>19</v>
      </c>
      <c r="D26" s="27">
        <v>500</v>
      </c>
      <c r="E26" s="27" t="s">
        <v>20</v>
      </c>
      <c r="F26" s="27" t="s">
        <v>26</v>
      </c>
      <c r="G26" s="27" t="s">
        <v>22</v>
      </c>
      <c r="H26" s="22">
        <v>0.43</v>
      </c>
      <c r="I26" s="22">
        <v>0.55030000000000001</v>
      </c>
      <c r="J26" s="22">
        <v>0.22</v>
      </c>
      <c r="K26" s="22">
        <v>0.58140000000000003</v>
      </c>
      <c r="L26" s="22">
        <v>0.69420000000000004</v>
      </c>
      <c r="M26" s="22">
        <v>0.53400000000000003</v>
      </c>
      <c r="N26" s="22">
        <v>0.11</v>
      </c>
      <c r="O26" s="22">
        <v>0.39850000000000002</v>
      </c>
      <c r="P26" s="22">
        <v>0.68079999999999996</v>
      </c>
      <c r="Q26" s="27"/>
      <c r="R26" s="27"/>
    </row>
    <row r="27" spans="1:18" x14ac:dyDescent="0.3">
      <c r="A27" s="26">
        <v>22</v>
      </c>
      <c r="B27" s="27" t="s">
        <v>42</v>
      </c>
      <c r="C27" s="26" t="s">
        <v>19</v>
      </c>
      <c r="D27" s="26">
        <v>500</v>
      </c>
      <c r="E27" s="26" t="s">
        <v>46</v>
      </c>
      <c r="F27" s="26" t="s">
        <v>26</v>
      </c>
      <c r="G27" s="26" t="s">
        <v>22</v>
      </c>
      <c r="H27" s="21">
        <v>0.4</v>
      </c>
      <c r="I27" s="21">
        <v>0.5474</v>
      </c>
      <c r="J27" s="21">
        <v>0.21</v>
      </c>
      <c r="K27" s="21">
        <v>0.58879999999999999</v>
      </c>
      <c r="L27" s="21">
        <v>0.71499999999999997</v>
      </c>
      <c r="M27" s="21">
        <v>0.53569999999999995</v>
      </c>
      <c r="N27" s="21">
        <v>0.1</v>
      </c>
      <c r="O27" s="21">
        <v>0.39069999999999999</v>
      </c>
      <c r="P27" s="21">
        <v>0.67090000000000005</v>
      </c>
      <c r="Q27" s="26"/>
      <c r="R27" s="26"/>
    </row>
    <row r="28" spans="1:18" x14ac:dyDescent="0.3">
      <c r="A28" s="27">
        <v>23</v>
      </c>
      <c r="B28" s="27" t="s">
        <v>42</v>
      </c>
      <c r="C28" s="27" t="s">
        <v>19</v>
      </c>
      <c r="D28" s="27">
        <v>500</v>
      </c>
      <c r="E28" s="27" t="s">
        <v>47</v>
      </c>
      <c r="F28" s="27" t="s">
        <v>26</v>
      </c>
      <c r="G28" s="27" t="s">
        <v>22</v>
      </c>
      <c r="H28" s="22">
        <v>0.42</v>
      </c>
      <c r="I28" s="22">
        <v>0.55940000000000001</v>
      </c>
      <c r="J28" s="22">
        <v>0.25</v>
      </c>
      <c r="K28" s="22">
        <v>0.59150000000000003</v>
      </c>
      <c r="L28" s="22">
        <v>0.7</v>
      </c>
      <c r="M28" s="22">
        <v>0.54069999999999996</v>
      </c>
      <c r="N28" s="22">
        <v>0.14000000000000001</v>
      </c>
      <c r="O28" s="22">
        <v>0.41739999999999999</v>
      </c>
      <c r="P28" s="22">
        <v>0.69579999999999997</v>
      </c>
      <c r="Q28" s="27"/>
      <c r="R28" s="27"/>
    </row>
    <row r="29" spans="1:18" x14ac:dyDescent="0.3">
      <c r="A29" s="28">
        <v>24</v>
      </c>
      <c r="B29" s="27" t="s">
        <v>42</v>
      </c>
      <c r="C29" s="28" t="s">
        <v>19</v>
      </c>
      <c r="D29" s="28">
        <v>500</v>
      </c>
      <c r="E29" s="28" t="s">
        <v>48</v>
      </c>
      <c r="F29" s="28" t="s">
        <v>26</v>
      </c>
      <c r="G29" s="28" t="s">
        <v>22</v>
      </c>
      <c r="H29" s="23">
        <v>0.44</v>
      </c>
      <c r="I29" s="23">
        <v>0.58989999999999998</v>
      </c>
      <c r="J29" s="23">
        <v>0.27</v>
      </c>
      <c r="K29" s="23">
        <v>0.61050000000000004</v>
      </c>
      <c r="L29" s="23">
        <v>0.71</v>
      </c>
      <c r="M29" s="23">
        <v>0.56320000000000003</v>
      </c>
      <c r="N29" s="23">
        <v>0.15</v>
      </c>
      <c r="O29" s="23">
        <v>0.44359999999999999</v>
      </c>
      <c r="P29" s="23">
        <v>0.67830000000000001</v>
      </c>
      <c r="Q29" s="28"/>
      <c r="R29" s="28"/>
    </row>
    <row r="30" spans="1:18" x14ac:dyDescent="0.3">
      <c r="A30" s="27">
        <v>25</v>
      </c>
      <c r="B30" s="27" t="s">
        <v>42</v>
      </c>
      <c r="C30" s="27" t="s">
        <v>19</v>
      </c>
      <c r="D30" s="27">
        <v>500</v>
      </c>
      <c r="E30" s="27" t="s">
        <v>49</v>
      </c>
      <c r="F30" s="27" t="s">
        <v>26</v>
      </c>
      <c r="G30" s="27" t="s">
        <v>22</v>
      </c>
      <c r="H30" s="22">
        <v>0.41</v>
      </c>
      <c r="I30" s="22">
        <v>0.56220000000000003</v>
      </c>
      <c r="J30" s="22">
        <v>0.23</v>
      </c>
      <c r="K30" s="22">
        <v>0.61009999999999998</v>
      </c>
      <c r="L30" s="22">
        <v>0.73080000000000001</v>
      </c>
      <c r="M30" s="22">
        <v>0.55479999999999996</v>
      </c>
      <c r="N30" s="22">
        <v>0.12</v>
      </c>
      <c r="O30" s="22">
        <v>0.41199999999999998</v>
      </c>
      <c r="P30" s="22">
        <v>0.6542</v>
      </c>
      <c r="Q30" s="27"/>
      <c r="R30" s="27"/>
    </row>
    <row r="32" spans="1:18" x14ac:dyDescent="0.3">
      <c r="A32" s="29" t="s">
        <v>53</v>
      </c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</row>
    <row r="33" spans="1:18" ht="15.6" x14ac:dyDescent="0.3">
      <c r="A33" s="28">
        <v>26</v>
      </c>
      <c r="B33" s="20" t="s">
        <v>41</v>
      </c>
      <c r="C33" s="28" t="s">
        <v>19</v>
      </c>
      <c r="D33" s="28">
        <v>500</v>
      </c>
      <c r="E33" s="28" t="s">
        <v>20</v>
      </c>
      <c r="F33" s="28" t="s">
        <v>26</v>
      </c>
      <c r="G33" s="28" t="s">
        <v>22</v>
      </c>
      <c r="H33" s="23">
        <v>0.52</v>
      </c>
      <c r="I33" s="23">
        <v>0.64849999999999997</v>
      </c>
      <c r="J33" s="23">
        <v>0.21</v>
      </c>
      <c r="K33" s="23">
        <v>0.629</v>
      </c>
      <c r="L33" s="23">
        <v>0.74419999999999997</v>
      </c>
      <c r="M33" s="23">
        <v>0.57069999999999999</v>
      </c>
      <c r="N33" s="23">
        <v>0.15</v>
      </c>
      <c r="O33" s="23">
        <v>0.47189999999999999</v>
      </c>
      <c r="P33" s="23">
        <v>0.74450000000000005</v>
      </c>
      <c r="Q33" s="28"/>
      <c r="R33" s="28"/>
    </row>
    <row r="34" spans="1:18" ht="15.6" x14ac:dyDescent="0.3">
      <c r="A34" s="27">
        <v>27</v>
      </c>
      <c r="B34" s="20" t="s">
        <v>41</v>
      </c>
      <c r="C34" s="27" t="s">
        <v>19</v>
      </c>
      <c r="D34" s="27">
        <v>500</v>
      </c>
      <c r="E34" s="27" t="s">
        <v>46</v>
      </c>
      <c r="F34" s="27" t="s">
        <v>26</v>
      </c>
      <c r="G34" s="27" t="s">
        <v>22</v>
      </c>
      <c r="H34" s="22">
        <v>0.47</v>
      </c>
      <c r="I34" s="22">
        <v>0.63339999999999996</v>
      </c>
      <c r="J34" s="22">
        <v>0.27</v>
      </c>
      <c r="K34" s="22">
        <v>0.63900000000000001</v>
      </c>
      <c r="L34" s="22">
        <v>0.745</v>
      </c>
      <c r="M34" s="22">
        <v>0.59230000000000005</v>
      </c>
      <c r="N34" s="22">
        <v>0.14000000000000001</v>
      </c>
      <c r="O34" s="22">
        <v>0.4647</v>
      </c>
      <c r="P34" s="22">
        <v>0.7601</v>
      </c>
      <c r="Q34" s="27"/>
      <c r="R34" s="27"/>
    </row>
    <row r="35" spans="1:18" ht="15.6" x14ac:dyDescent="0.3">
      <c r="A35" s="27">
        <v>28</v>
      </c>
      <c r="B35" s="20" t="s">
        <v>41</v>
      </c>
      <c r="C35" s="27" t="s">
        <v>19</v>
      </c>
      <c r="D35" s="27">
        <v>500</v>
      </c>
      <c r="E35" s="27" t="s">
        <v>47</v>
      </c>
      <c r="F35" s="27" t="s">
        <v>26</v>
      </c>
      <c r="G35" s="27" t="s">
        <v>22</v>
      </c>
      <c r="H35" s="22">
        <v>0.5</v>
      </c>
      <c r="I35" s="22">
        <v>0.64810000000000001</v>
      </c>
      <c r="J35" s="22">
        <v>0.27</v>
      </c>
      <c r="K35" s="22">
        <v>0.63839999999999997</v>
      </c>
      <c r="L35" s="22">
        <v>0.74580000000000002</v>
      </c>
      <c r="M35" s="22">
        <v>0.58399999999999996</v>
      </c>
      <c r="N35" s="22">
        <v>0.17</v>
      </c>
      <c r="O35" s="22">
        <v>0.47449999999999998</v>
      </c>
      <c r="P35" s="22">
        <v>0.67330000000000001</v>
      </c>
      <c r="Q35" s="27"/>
      <c r="R35" s="27"/>
    </row>
    <row r="36" spans="1:18" ht="15.6" x14ac:dyDescent="0.3">
      <c r="A36" s="26">
        <v>29</v>
      </c>
      <c r="B36" s="20" t="s">
        <v>41</v>
      </c>
      <c r="C36" s="26" t="s">
        <v>19</v>
      </c>
      <c r="D36" s="26">
        <v>500</v>
      </c>
      <c r="E36" s="26" t="s">
        <v>48</v>
      </c>
      <c r="F36" s="26" t="s">
        <v>26</v>
      </c>
      <c r="G36" s="26" t="s">
        <v>22</v>
      </c>
      <c r="H36" s="21">
        <v>0.45</v>
      </c>
      <c r="I36" s="21">
        <v>0.61450000000000005</v>
      </c>
      <c r="J36" s="21">
        <v>0.27</v>
      </c>
      <c r="K36" s="21">
        <v>0.60840000000000005</v>
      </c>
      <c r="L36" s="21">
        <v>0.71330000000000005</v>
      </c>
      <c r="M36" s="21">
        <v>0.56030000000000002</v>
      </c>
      <c r="N36" s="21">
        <v>0.15</v>
      </c>
      <c r="O36" s="21">
        <v>0.43259999999999998</v>
      </c>
      <c r="P36" s="21">
        <v>0.7167</v>
      </c>
      <c r="Q36" s="26"/>
      <c r="R36" s="26"/>
    </row>
    <row r="37" spans="1:18" ht="15.6" x14ac:dyDescent="0.3">
      <c r="A37" s="27">
        <v>30</v>
      </c>
      <c r="B37" s="20" t="s">
        <v>41</v>
      </c>
      <c r="C37" s="27" t="s">
        <v>19</v>
      </c>
      <c r="D37" s="27">
        <v>500</v>
      </c>
      <c r="E37" s="27" t="s">
        <v>49</v>
      </c>
      <c r="F37" s="27" t="s">
        <v>26</v>
      </c>
      <c r="G37" s="27" t="s">
        <v>22</v>
      </c>
      <c r="H37" s="22">
        <v>0.48</v>
      </c>
      <c r="I37" s="22">
        <v>0.63029999999999997</v>
      </c>
      <c r="J37" s="22">
        <v>0.28999999999999998</v>
      </c>
      <c r="K37" s="22">
        <v>0.62870000000000004</v>
      </c>
      <c r="L37" s="22">
        <v>0.74170000000000003</v>
      </c>
      <c r="M37" s="22">
        <v>0.57650000000000001</v>
      </c>
      <c r="N37" s="22">
        <v>0.14000000000000001</v>
      </c>
      <c r="O37" s="22">
        <v>0.46479999999999999</v>
      </c>
      <c r="P37" s="22">
        <v>0.67600000000000005</v>
      </c>
      <c r="Q37" s="27"/>
      <c r="R37" s="27"/>
    </row>
  </sheetData>
  <mergeCells count="6">
    <mergeCell ref="A32:R32"/>
    <mergeCell ref="A2:R2"/>
    <mergeCell ref="A4:R4"/>
    <mergeCell ref="A11:R11"/>
    <mergeCell ref="A18:R18"/>
    <mergeCell ref="A25:R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Experiment Metrics</vt:lpstr>
      <vt:lpstr>Ebedding 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Lokavishruth K</cp:lastModifiedBy>
  <dcterms:created xsi:type="dcterms:W3CDTF">2026-04-07T06:18:46Z</dcterms:created>
  <dcterms:modified xsi:type="dcterms:W3CDTF">2026-06-13T07:38:44Z</dcterms:modified>
</cp:coreProperties>
</file>